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activeTab="1"/>
  </workbookViews>
  <sheets>
    <sheet name="マスタ" sheetId="1" r:id="rId1"/>
    <sheet name="入力" sheetId="2" r:id="rId2"/>
  </sheets>
  <calcPr calcMode="auto" fullCalcOnLoad="1"/>
</workbook>
</file>

<file path=xl/styles.xml><?xml version="1.0" encoding="utf-8"?>
<styleSheet xmlns="http://schemas.openxmlformats.org/spreadsheetml/2006/main">
  <fonts count="3">
    <font>
      <sz val="11"/>
      <color rgb="FF1C1915"/>
      <name val="Yu Gothic"/>
      <family val="2"/>
    </font>
    <font>
      <b/>
      <sz val="11"/>
      <color rgb="FF1C3330"/>
      <name val="Yu Gothic"/>
      <family val="2"/>
    </font>
    <font>
      <b/>
      <sz val="11"/>
      <color rgb="FF1C1915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CE8E3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/>
    </xf>
    <xf numFmtId="3" fontId="0" fillId="0" borderId="1" xfId="0" applyNumberFormat="1" applyFont="1" applyBorder="1" applyAlignment="1">
      <alignment horizontal="right" vertical="center"/>
    </xf>
    <xf numFmtId="4" fontId="0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 applyFont="1"/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3" fontId="0" fillId="0" borderId="1" xfId="0" applyNumberFormat="1" applyFont="1" applyBorder="1" applyAlignment="1">
      <alignment horizontal="left" vertical="center"/>
    </xf>
    <xf numFmtId="4" fontId="0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6" customWidth="1"/>
    <col min="3" max="3" width="16" customWidth="1"/>
  </cols>
  <sheetData>
    <row r="1">
      <c r="A1" s="1" t="inlineStr">
        <is>
          <t>オプションNo</t>
        </is>
      </c>
      <c r="B1" s="1" t="inlineStr">
        <is>
          <t>品名</t>
        </is>
      </c>
      <c r="C1" s="1" t="inlineStr">
        <is>
          <t>値段</t>
        </is>
      </c>
    </row>
    <row r="2">
      <c r="A2" s="2" t="inlineStr">
        <is>
          <t>01</t>
        </is>
      </c>
      <c r="B2" s="10" t="inlineStr">
        <is>
          <t>サンルーフ</t>
        </is>
      </c>
      <c r="C2" s="3">
        <v>50000</v>
      </c>
    </row>
    <row r="3">
      <c r="A3" s="2" t="inlineStr">
        <is>
          <t>2</t>
        </is>
      </c>
      <c r="B3" s="10" t="inlineStr">
        <is>
          <t>カーナビ</t>
        </is>
      </c>
      <c r="C3" s="3">
        <v>80000</v>
      </c>
    </row>
    <row r="4">
      <c r="A4" s="2" t="inlineStr">
        <is>
          <t>10</t>
        </is>
      </c>
      <c r="B4" s="10" t="inlineStr">
        <is>
          <t>フロアマット</t>
        </is>
      </c>
      <c r="C4" s="3">
        <v>12000</v>
      </c>
    </row>
  </sheetData>
</worksheet>
</file>

<file path=xl/worksheets/sheet2.xml><?xml version="1.0" encoding="utf-8"?>
<worksheet xmlns="http://schemas.openxmlformats.org/spreadsheetml/2006/main">
  <dimension ref="A1:E109"/>
  <sheetViews>
    <sheetView tabSelected="1" workbookViewId="0">
      <pane ySplit="7" topLeftCell="A8" activePane="topLeft" state="frozen"/>
      <selection pane="topLeft" activeCell="B3" sqref="B3"/>
    </sheetView>
  </sheetViews>
  <sheetFormatPr defaultRowHeight="18"/>
  <cols>
    <col min="1" max="1" width="24" customWidth="1"/>
    <col min="2" max="2" width="62" customWidth="1"/>
    <col min="3" max="3" width="16" customWidth="1"/>
    <col min="4" max="4" width="3" customWidth="1"/>
    <col min="5" max="5" width="28" customWidth="1" hidden="1"/>
  </cols>
  <sheetData>
    <row r="1">
      <c r="A1" s="5" t="inlineStr">
        <is>
          <t>図番番号</t>
        </is>
      </c>
      <c r="B1" s="6" t="inlineStr">
        <is>
          <t>標準仕様A</t>
        </is>
      </c>
    </row>
    <row r="2">
      <c r="A2" s="5" t="inlineStr">
        <is>
          <t>本体価格</t>
        </is>
      </c>
      <c r="B2" s="11">
        <v>2500000</v>
      </c>
    </row>
    <row r="3">
      <c r="A3" s="5" t="inlineStr">
        <is>
          <t>オプションNo</t>
        </is>
      </c>
      <c r="B3" s="15"/>
      <c r="C3" s="6" t="inlineStr">
        <is>
          <t>例: 1,2,3</t>
        </is>
      </c>
    </row>
    <row r="4">
      <c r="A4" s="5" t="inlineStr">
        <is>
          <t>品目リスト</t>
        </is>
      </c>
      <c r="B4" s="6">
        <f>E107</f>
      </c>
    </row>
    <row r="5">
      <c r="A5" s="7" t="inlineStr">
        <is>
          <t>オプション合計</t>
        </is>
      </c>
      <c r="B5" s="13">
        <f>SUM(C8:C107)</f>
      </c>
    </row>
    <row r="6">
      <c r="A6" s="7" t="inlineStr">
        <is>
          <t>総合計</t>
        </is>
      </c>
      <c r="B6" s="13">
        <f>B2+B5</f>
      </c>
    </row>
    <row r="7">
      <c r="A7" s="1" t="inlineStr">
        <is>
          <t>オプションNo</t>
        </is>
      </c>
      <c r="B7" s="1" t="inlineStr">
        <is>
          <t>品名</t>
        </is>
      </c>
      <c r="C7" s="1" t="inlineStr">
        <is>
          <t>値段</t>
        </is>
      </c>
    </row>
    <row r="8">
      <c r="A8" s="2">
        <f>IF(B3="","",TRIM(MID(SUBSTITUTE(SUBSTITUTE(SUBSTITUTE(B3&amp;"","、",","),"，",",")&amp;",",",",REPT(" ",20)),1,20)))</f>
      </c>
      <c r="B8" s="10">
        <f>IF(A8="","",IFERROR(INDEX(マスタ!$B$2:$B$4,MATCH(A8&amp;"",マスタ!$A$2:$A$4,0)),"該当なし"))</f>
      </c>
      <c r="C8" s="3">
        <f>IF(A8="","",IFERROR(INDEX(マスタ!$C$2:$C$4,MATCH(A8&amp;"",マスタ!$A$2:$A$4,0)),""))</f>
      </c>
      <c r="E8">
        <f>IF(B8="","",B8)</f>
      </c>
    </row>
    <row r="9">
      <c r="A9" s="2">
        <f>IF(B3="","",TRIM(MID(SUBSTITUTE(SUBSTITUTE(SUBSTITUTE(B3&amp;"","、",","),"，",",")&amp;",",",",REPT(" ",20)),21,20)))</f>
      </c>
      <c r="B9" s="10">
        <f>IF(A9="","",IFERROR(INDEX(マスタ!$B$2:$B$4,MATCH(A9&amp;"",マスタ!$A$2:$A$4,0)),"該当なし"))</f>
      </c>
      <c r="C9" s="3">
        <f>IF(A9="","",IFERROR(INDEX(マスタ!$C$2:$C$4,MATCH(A9&amp;"",マスタ!$A$2:$A$4,0)),""))</f>
      </c>
      <c r="E9">
        <f>IF(B9="",E8,IF(E8="",B9,E8&amp;","&amp;B9))</f>
      </c>
    </row>
    <row r="10">
      <c r="A10" s="2">
        <f>IF(B3="","",TRIM(MID(SUBSTITUTE(SUBSTITUTE(SUBSTITUTE(B3&amp;"","、",","),"，",",")&amp;",",",",REPT(" ",20)),41,20)))</f>
      </c>
      <c r="B10" s="10">
        <f>IF(A10="","",IFERROR(INDEX(マスタ!$B$2:$B$4,MATCH(A10&amp;"",マスタ!$A$2:$A$4,0)),"該当なし"))</f>
      </c>
      <c r="C10" s="3">
        <f>IF(A10="","",IFERROR(INDEX(マスタ!$C$2:$C$4,MATCH(A10&amp;"",マスタ!$A$2:$A$4,0)),""))</f>
      </c>
      <c r="E10">
        <f>IF(B10="",E9,IF(E9="",B10,E9&amp;","&amp;B10))</f>
      </c>
    </row>
    <row r="11">
      <c r="A11" s="2">
        <f>IF(B3="","",TRIM(MID(SUBSTITUTE(SUBSTITUTE(SUBSTITUTE(B3&amp;"","、",","),"，",",")&amp;",",",",REPT(" ",20)),61,20)))</f>
      </c>
      <c r="B11" s="10">
        <f>IF(A11="","",IFERROR(INDEX(マスタ!$B$2:$B$4,MATCH(A11&amp;"",マスタ!$A$2:$A$4,0)),"該当なし"))</f>
      </c>
      <c r="C11" s="3">
        <f>IF(A11="","",IFERROR(INDEX(マスタ!$C$2:$C$4,MATCH(A11&amp;"",マスタ!$A$2:$A$4,0)),""))</f>
      </c>
      <c r="E11">
        <f>IF(B11="",E10,IF(E10="",B11,E10&amp;","&amp;B11))</f>
      </c>
    </row>
    <row r="12">
      <c r="A12" s="2">
        <f>IF(B3="","",TRIM(MID(SUBSTITUTE(SUBSTITUTE(SUBSTITUTE(B3&amp;"","、",","),"，",",")&amp;",",",",REPT(" ",20)),81,20)))</f>
      </c>
      <c r="B12" s="10">
        <f>IF(A12="","",IFERROR(INDEX(マスタ!$B$2:$B$4,MATCH(A12&amp;"",マスタ!$A$2:$A$4,0)),"該当なし"))</f>
      </c>
      <c r="C12" s="3">
        <f>IF(A12="","",IFERROR(INDEX(マスタ!$C$2:$C$4,MATCH(A12&amp;"",マスタ!$A$2:$A$4,0)),""))</f>
      </c>
      <c r="E12">
        <f>IF(B12="",E11,IF(E11="",B12,E11&amp;","&amp;B12))</f>
      </c>
    </row>
    <row r="13">
      <c r="A13" s="2">
        <f>IF(B3="","",TRIM(MID(SUBSTITUTE(SUBSTITUTE(SUBSTITUTE(B3&amp;"","、",","),"，",",")&amp;",",",",REPT(" ",20)),101,20)))</f>
      </c>
      <c r="B13" s="10">
        <f>IF(A13="","",IFERROR(INDEX(マスタ!$B$2:$B$4,MATCH(A13&amp;"",マスタ!$A$2:$A$4,0)),"該当なし"))</f>
      </c>
      <c r="C13" s="3">
        <f>IF(A13="","",IFERROR(INDEX(マスタ!$C$2:$C$4,MATCH(A13&amp;"",マスタ!$A$2:$A$4,0)),""))</f>
      </c>
      <c r="E13">
        <f>IF(B13="",E12,IF(E12="",B13,E12&amp;","&amp;B13))</f>
      </c>
    </row>
    <row r="14">
      <c r="A14" s="2">
        <f>IF(B3="","",TRIM(MID(SUBSTITUTE(SUBSTITUTE(SUBSTITUTE(B3&amp;"","、",","),"，",",")&amp;",",",",REPT(" ",20)),121,20)))</f>
      </c>
      <c r="B14" s="10">
        <f>IF(A14="","",IFERROR(INDEX(マスタ!$B$2:$B$4,MATCH(A14&amp;"",マスタ!$A$2:$A$4,0)),"該当なし"))</f>
      </c>
      <c r="C14" s="3">
        <f>IF(A14="","",IFERROR(INDEX(マスタ!$C$2:$C$4,MATCH(A14&amp;"",マスタ!$A$2:$A$4,0)),""))</f>
      </c>
      <c r="E14">
        <f>IF(B14="",E13,IF(E13="",B14,E13&amp;","&amp;B14))</f>
      </c>
    </row>
    <row r="15">
      <c r="A15" s="2">
        <f>IF(B3="","",TRIM(MID(SUBSTITUTE(SUBSTITUTE(SUBSTITUTE(B3&amp;"","、",","),"，",",")&amp;",",",",REPT(" ",20)),141,20)))</f>
      </c>
      <c r="B15" s="10">
        <f>IF(A15="","",IFERROR(INDEX(マスタ!$B$2:$B$4,MATCH(A15&amp;"",マスタ!$A$2:$A$4,0)),"該当なし"))</f>
      </c>
      <c r="C15" s="3">
        <f>IF(A15="","",IFERROR(INDEX(マスタ!$C$2:$C$4,MATCH(A15&amp;"",マスタ!$A$2:$A$4,0)),""))</f>
      </c>
      <c r="E15">
        <f>IF(B15="",E14,IF(E14="",B15,E14&amp;","&amp;B15))</f>
      </c>
    </row>
    <row r="16">
      <c r="A16" s="2">
        <f>IF(B3="","",TRIM(MID(SUBSTITUTE(SUBSTITUTE(SUBSTITUTE(B3&amp;"","、",","),"，",",")&amp;",",",",REPT(" ",20)),161,20)))</f>
      </c>
      <c r="B16" s="10">
        <f>IF(A16="","",IFERROR(INDEX(マスタ!$B$2:$B$4,MATCH(A16&amp;"",マスタ!$A$2:$A$4,0)),"該当なし"))</f>
      </c>
      <c r="C16" s="3">
        <f>IF(A16="","",IFERROR(INDEX(マスタ!$C$2:$C$4,MATCH(A16&amp;"",マスタ!$A$2:$A$4,0)),""))</f>
      </c>
      <c r="E16">
        <f>IF(B16="",E15,IF(E15="",B16,E15&amp;","&amp;B16))</f>
      </c>
    </row>
    <row r="17">
      <c r="A17" s="2">
        <f>IF(B3="","",TRIM(MID(SUBSTITUTE(SUBSTITUTE(SUBSTITUTE(B3&amp;"","、",","),"，",",")&amp;",",",",REPT(" ",20)),181,20)))</f>
      </c>
      <c r="B17" s="10">
        <f>IF(A17="","",IFERROR(INDEX(マスタ!$B$2:$B$4,MATCH(A17&amp;"",マスタ!$A$2:$A$4,0)),"該当なし"))</f>
      </c>
      <c r="C17" s="3">
        <f>IF(A17="","",IFERROR(INDEX(マスタ!$C$2:$C$4,MATCH(A17&amp;"",マスタ!$A$2:$A$4,0)),""))</f>
      </c>
      <c r="E17">
        <f>IF(B17="",E16,IF(E16="",B17,E16&amp;","&amp;B17))</f>
      </c>
    </row>
    <row r="18">
      <c r="A18" s="2">
        <f>IF(B3="","",TRIM(MID(SUBSTITUTE(SUBSTITUTE(SUBSTITUTE(B3&amp;"","、",","),"，",",")&amp;",",",",REPT(" ",20)),201,20)))</f>
      </c>
      <c r="B18" s="10">
        <f>IF(A18="","",IFERROR(INDEX(マスタ!$B$2:$B$4,MATCH(A18&amp;"",マスタ!$A$2:$A$4,0)),"該当なし"))</f>
      </c>
      <c r="C18" s="3">
        <f>IF(A18="","",IFERROR(INDEX(マスタ!$C$2:$C$4,MATCH(A18&amp;"",マスタ!$A$2:$A$4,0)),""))</f>
      </c>
      <c r="E18">
        <f>IF(B18="",E17,IF(E17="",B18,E17&amp;","&amp;B18))</f>
      </c>
    </row>
    <row r="19">
      <c r="A19" s="2">
        <f>IF(B3="","",TRIM(MID(SUBSTITUTE(SUBSTITUTE(SUBSTITUTE(B3&amp;"","、",","),"，",",")&amp;",",",",REPT(" ",20)),221,20)))</f>
      </c>
      <c r="B19" s="10">
        <f>IF(A19="","",IFERROR(INDEX(マスタ!$B$2:$B$4,MATCH(A19&amp;"",マスタ!$A$2:$A$4,0)),"該当なし"))</f>
      </c>
      <c r="C19" s="3">
        <f>IF(A19="","",IFERROR(INDEX(マスタ!$C$2:$C$4,MATCH(A19&amp;"",マスタ!$A$2:$A$4,0)),""))</f>
      </c>
      <c r="E19">
        <f>IF(B19="",E18,IF(E18="",B19,E18&amp;","&amp;B19))</f>
      </c>
    </row>
    <row r="20">
      <c r="A20" s="2">
        <f>IF(B3="","",TRIM(MID(SUBSTITUTE(SUBSTITUTE(SUBSTITUTE(B3&amp;"","、",","),"，",",")&amp;",",",",REPT(" ",20)),241,20)))</f>
      </c>
      <c r="B20" s="10">
        <f>IF(A20="","",IFERROR(INDEX(マスタ!$B$2:$B$4,MATCH(A20&amp;"",マスタ!$A$2:$A$4,0)),"該当なし"))</f>
      </c>
      <c r="C20" s="3">
        <f>IF(A20="","",IFERROR(INDEX(マスタ!$C$2:$C$4,MATCH(A20&amp;"",マスタ!$A$2:$A$4,0)),""))</f>
      </c>
      <c r="E20">
        <f>IF(B20="",E19,IF(E19="",B20,E19&amp;","&amp;B20))</f>
      </c>
    </row>
    <row r="21">
      <c r="A21" s="2">
        <f>IF(B3="","",TRIM(MID(SUBSTITUTE(SUBSTITUTE(SUBSTITUTE(B3&amp;"","、",","),"，",",")&amp;",",",",REPT(" ",20)),261,20)))</f>
      </c>
      <c r="B21" s="10">
        <f>IF(A21="","",IFERROR(INDEX(マスタ!$B$2:$B$4,MATCH(A21&amp;"",マスタ!$A$2:$A$4,0)),"該当なし"))</f>
      </c>
      <c r="C21" s="3">
        <f>IF(A21="","",IFERROR(INDEX(マスタ!$C$2:$C$4,MATCH(A21&amp;"",マスタ!$A$2:$A$4,0)),""))</f>
      </c>
      <c r="E21">
        <f>IF(B21="",E20,IF(E20="",B21,E20&amp;","&amp;B21))</f>
      </c>
    </row>
    <row r="22">
      <c r="A22" s="2">
        <f>IF(B3="","",TRIM(MID(SUBSTITUTE(SUBSTITUTE(SUBSTITUTE(B3&amp;"","、",","),"，",",")&amp;",",",",REPT(" ",20)),281,20)))</f>
      </c>
      <c r="B22" s="10">
        <f>IF(A22="","",IFERROR(INDEX(マスタ!$B$2:$B$4,MATCH(A22&amp;"",マスタ!$A$2:$A$4,0)),"該当なし"))</f>
      </c>
      <c r="C22" s="3">
        <f>IF(A22="","",IFERROR(INDEX(マスタ!$C$2:$C$4,MATCH(A22&amp;"",マスタ!$A$2:$A$4,0)),""))</f>
      </c>
      <c r="E22">
        <f>IF(B22="",E21,IF(E21="",B22,E21&amp;","&amp;B22))</f>
      </c>
    </row>
    <row r="23">
      <c r="A23" s="2">
        <f>IF(B3="","",TRIM(MID(SUBSTITUTE(SUBSTITUTE(SUBSTITUTE(B3&amp;"","、",","),"，",",")&amp;",",",",REPT(" ",20)),301,20)))</f>
      </c>
      <c r="B23" s="10">
        <f>IF(A23="","",IFERROR(INDEX(マスタ!$B$2:$B$4,MATCH(A23&amp;"",マスタ!$A$2:$A$4,0)),"該当なし"))</f>
      </c>
      <c r="C23" s="3">
        <f>IF(A23="","",IFERROR(INDEX(マスタ!$C$2:$C$4,MATCH(A23&amp;"",マスタ!$A$2:$A$4,0)),""))</f>
      </c>
      <c r="E23">
        <f>IF(B23="",E22,IF(E22="",B23,E22&amp;","&amp;B23))</f>
      </c>
    </row>
    <row r="24">
      <c r="A24" s="2">
        <f>IF(B3="","",TRIM(MID(SUBSTITUTE(SUBSTITUTE(SUBSTITUTE(B3&amp;"","、",","),"，",",")&amp;",",",",REPT(" ",20)),321,20)))</f>
      </c>
      <c r="B24" s="10">
        <f>IF(A24="","",IFERROR(INDEX(マスタ!$B$2:$B$4,MATCH(A24&amp;"",マスタ!$A$2:$A$4,0)),"該当なし"))</f>
      </c>
      <c r="C24" s="3">
        <f>IF(A24="","",IFERROR(INDEX(マスタ!$C$2:$C$4,MATCH(A24&amp;"",マスタ!$A$2:$A$4,0)),""))</f>
      </c>
      <c r="E24">
        <f>IF(B24="",E23,IF(E23="",B24,E23&amp;","&amp;B24))</f>
      </c>
    </row>
    <row r="25">
      <c r="A25" s="2">
        <f>IF(B3="","",TRIM(MID(SUBSTITUTE(SUBSTITUTE(SUBSTITUTE(B3&amp;"","、",","),"，",",")&amp;",",",",REPT(" ",20)),341,20)))</f>
      </c>
      <c r="B25" s="10">
        <f>IF(A25="","",IFERROR(INDEX(マスタ!$B$2:$B$4,MATCH(A25&amp;"",マスタ!$A$2:$A$4,0)),"該当なし"))</f>
      </c>
      <c r="C25" s="3">
        <f>IF(A25="","",IFERROR(INDEX(マスタ!$C$2:$C$4,MATCH(A25&amp;"",マスタ!$A$2:$A$4,0)),""))</f>
      </c>
      <c r="E25">
        <f>IF(B25="",E24,IF(E24="",B25,E24&amp;","&amp;B25))</f>
      </c>
    </row>
    <row r="26">
      <c r="A26" s="2">
        <f>IF(B3="","",TRIM(MID(SUBSTITUTE(SUBSTITUTE(SUBSTITUTE(B3&amp;"","、",","),"，",",")&amp;",",",",REPT(" ",20)),361,20)))</f>
      </c>
      <c r="B26" s="10">
        <f>IF(A26="","",IFERROR(INDEX(マスタ!$B$2:$B$4,MATCH(A26&amp;"",マスタ!$A$2:$A$4,0)),"該当なし"))</f>
      </c>
      <c r="C26" s="3">
        <f>IF(A26="","",IFERROR(INDEX(マスタ!$C$2:$C$4,MATCH(A26&amp;"",マスタ!$A$2:$A$4,0)),""))</f>
      </c>
      <c r="E26">
        <f>IF(B26="",E25,IF(E25="",B26,E25&amp;","&amp;B26))</f>
      </c>
    </row>
    <row r="27">
      <c r="A27" s="2">
        <f>IF(B3="","",TRIM(MID(SUBSTITUTE(SUBSTITUTE(SUBSTITUTE(B3&amp;"","、",","),"，",",")&amp;",",",",REPT(" ",20)),381,20)))</f>
      </c>
      <c r="B27" s="10">
        <f>IF(A27="","",IFERROR(INDEX(マスタ!$B$2:$B$4,MATCH(A27&amp;"",マスタ!$A$2:$A$4,0)),"該当なし"))</f>
      </c>
      <c r="C27" s="3">
        <f>IF(A27="","",IFERROR(INDEX(マスタ!$C$2:$C$4,MATCH(A27&amp;"",マスタ!$A$2:$A$4,0)),""))</f>
      </c>
      <c r="E27">
        <f>IF(B27="",E26,IF(E26="",B27,E26&amp;","&amp;B27))</f>
      </c>
    </row>
    <row r="28">
      <c r="A28" s="2">
        <f>IF(B3="","",TRIM(MID(SUBSTITUTE(SUBSTITUTE(SUBSTITUTE(B3&amp;"","、",","),"，",",")&amp;",",",",REPT(" ",20)),401,20)))</f>
      </c>
      <c r="B28" s="10">
        <f>IF(A28="","",IFERROR(INDEX(マスタ!$B$2:$B$4,MATCH(A28&amp;"",マスタ!$A$2:$A$4,0)),"該当なし"))</f>
      </c>
      <c r="C28" s="3">
        <f>IF(A28="","",IFERROR(INDEX(マスタ!$C$2:$C$4,MATCH(A28&amp;"",マスタ!$A$2:$A$4,0)),""))</f>
      </c>
      <c r="E28">
        <f>IF(B28="",E27,IF(E27="",B28,E27&amp;","&amp;B28))</f>
      </c>
    </row>
    <row r="29">
      <c r="A29" s="2">
        <f>IF(B3="","",TRIM(MID(SUBSTITUTE(SUBSTITUTE(SUBSTITUTE(B3&amp;"","、",","),"，",",")&amp;",",",",REPT(" ",20)),421,20)))</f>
      </c>
      <c r="B29" s="10">
        <f>IF(A29="","",IFERROR(INDEX(マスタ!$B$2:$B$4,MATCH(A29&amp;"",マスタ!$A$2:$A$4,0)),"該当なし"))</f>
      </c>
      <c r="C29" s="3">
        <f>IF(A29="","",IFERROR(INDEX(マスタ!$C$2:$C$4,MATCH(A29&amp;"",マスタ!$A$2:$A$4,0)),""))</f>
      </c>
      <c r="E29">
        <f>IF(B29="",E28,IF(E28="",B29,E28&amp;","&amp;B29))</f>
      </c>
    </row>
    <row r="30">
      <c r="A30" s="2">
        <f>IF(B3="","",TRIM(MID(SUBSTITUTE(SUBSTITUTE(SUBSTITUTE(B3&amp;"","、",","),"，",",")&amp;",",",",REPT(" ",20)),441,20)))</f>
      </c>
      <c r="B30" s="10">
        <f>IF(A30="","",IFERROR(INDEX(マスタ!$B$2:$B$4,MATCH(A30&amp;"",マスタ!$A$2:$A$4,0)),"該当なし"))</f>
      </c>
      <c r="C30" s="3">
        <f>IF(A30="","",IFERROR(INDEX(マスタ!$C$2:$C$4,MATCH(A30&amp;"",マスタ!$A$2:$A$4,0)),""))</f>
      </c>
      <c r="E30">
        <f>IF(B30="",E29,IF(E29="",B30,E29&amp;","&amp;B30))</f>
      </c>
    </row>
    <row r="31">
      <c r="A31" s="2">
        <f>IF(B3="","",TRIM(MID(SUBSTITUTE(SUBSTITUTE(SUBSTITUTE(B3&amp;"","、",","),"，",",")&amp;",",",",REPT(" ",20)),461,20)))</f>
      </c>
      <c r="B31" s="10">
        <f>IF(A31="","",IFERROR(INDEX(マスタ!$B$2:$B$4,MATCH(A31&amp;"",マスタ!$A$2:$A$4,0)),"該当なし"))</f>
      </c>
      <c r="C31" s="3">
        <f>IF(A31="","",IFERROR(INDEX(マスタ!$C$2:$C$4,MATCH(A31&amp;"",マスタ!$A$2:$A$4,0)),""))</f>
      </c>
      <c r="E31">
        <f>IF(B31="",E30,IF(E30="",B31,E30&amp;","&amp;B31))</f>
      </c>
    </row>
    <row r="32">
      <c r="A32" s="2">
        <f>IF(B3="","",TRIM(MID(SUBSTITUTE(SUBSTITUTE(SUBSTITUTE(B3&amp;"","、",","),"，",",")&amp;",",",",REPT(" ",20)),481,20)))</f>
      </c>
      <c r="B32" s="10">
        <f>IF(A32="","",IFERROR(INDEX(マスタ!$B$2:$B$4,MATCH(A32&amp;"",マスタ!$A$2:$A$4,0)),"該当なし"))</f>
      </c>
      <c r="C32" s="3">
        <f>IF(A32="","",IFERROR(INDEX(マスタ!$C$2:$C$4,MATCH(A32&amp;"",マスタ!$A$2:$A$4,0)),""))</f>
      </c>
      <c r="E32">
        <f>IF(B32="",E31,IF(E31="",B32,E31&amp;","&amp;B32))</f>
      </c>
    </row>
    <row r="33">
      <c r="A33" s="2">
        <f>IF(B3="","",TRIM(MID(SUBSTITUTE(SUBSTITUTE(SUBSTITUTE(B3&amp;"","、",","),"，",",")&amp;",",",",REPT(" ",20)),501,20)))</f>
      </c>
      <c r="B33" s="10">
        <f>IF(A33="","",IFERROR(INDEX(マスタ!$B$2:$B$4,MATCH(A33&amp;"",マスタ!$A$2:$A$4,0)),"該当なし"))</f>
      </c>
      <c r="C33" s="3">
        <f>IF(A33="","",IFERROR(INDEX(マスタ!$C$2:$C$4,MATCH(A33&amp;"",マスタ!$A$2:$A$4,0)),""))</f>
      </c>
      <c r="E33">
        <f>IF(B33="",E32,IF(E32="",B33,E32&amp;","&amp;B33))</f>
      </c>
    </row>
    <row r="34">
      <c r="A34" s="2">
        <f>IF(B3="","",TRIM(MID(SUBSTITUTE(SUBSTITUTE(SUBSTITUTE(B3&amp;"","、",","),"，",",")&amp;",",",",REPT(" ",20)),521,20)))</f>
      </c>
      <c r="B34" s="10">
        <f>IF(A34="","",IFERROR(INDEX(マスタ!$B$2:$B$4,MATCH(A34&amp;"",マスタ!$A$2:$A$4,0)),"該当なし"))</f>
      </c>
      <c r="C34" s="3">
        <f>IF(A34="","",IFERROR(INDEX(マスタ!$C$2:$C$4,MATCH(A34&amp;"",マスタ!$A$2:$A$4,0)),""))</f>
      </c>
      <c r="E34">
        <f>IF(B34="",E33,IF(E33="",B34,E33&amp;","&amp;B34))</f>
      </c>
    </row>
    <row r="35">
      <c r="A35" s="2">
        <f>IF(B3="","",TRIM(MID(SUBSTITUTE(SUBSTITUTE(SUBSTITUTE(B3&amp;"","、",","),"，",",")&amp;",",",",REPT(" ",20)),541,20)))</f>
      </c>
      <c r="B35" s="10">
        <f>IF(A35="","",IFERROR(INDEX(マスタ!$B$2:$B$4,MATCH(A35&amp;"",マスタ!$A$2:$A$4,0)),"該当なし"))</f>
      </c>
      <c r="C35" s="3">
        <f>IF(A35="","",IFERROR(INDEX(マスタ!$C$2:$C$4,MATCH(A35&amp;"",マスタ!$A$2:$A$4,0)),""))</f>
      </c>
      <c r="E35">
        <f>IF(B35="",E34,IF(E34="",B35,E34&amp;","&amp;B35))</f>
      </c>
    </row>
    <row r="36">
      <c r="A36" s="2">
        <f>IF(B3="","",TRIM(MID(SUBSTITUTE(SUBSTITUTE(SUBSTITUTE(B3&amp;"","、",","),"，",",")&amp;",",",",REPT(" ",20)),561,20)))</f>
      </c>
      <c r="B36" s="10">
        <f>IF(A36="","",IFERROR(INDEX(マスタ!$B$2:$B$4,MATCH(A36&amp;"",マスタ!$A$2:$A$4,0)),"該当なし"))</f>
      </c>
      <c r="C36" s="3">
        <f>IF(A36="","",IFERROR(INDEX(マスタ!$C$2:$C$4,MATCH(A36&amp;"",マスタ!$A$2:$A$4,0)),""))</f>
      </c>
      <c r="E36">
        <f>IF(B36="",E35,IF(E35="",B36,E35&amp;","&amp;B36))</f>
      </c>
    </row>
    <row r="37">
      <c r="A37" s="2">
        <f>IF(B3="","",TRIM(MID(SUBSTITUTE(SUBSTITUTE(SUBSTITUTE(B3&amp;"","、",","),"，",",")&amp;",",",",REPT(" ",20)),581,20)))</f>
      </c>
      <c r="B37" s="10">
        <f>IF(A37="","",IFERROR(INDEX(マスタ!$B$2:$B$4,MATCH(A37&amp;"",マスタ!$A$2:$A$4,0)),"該当なし"))</f>
      </c>
      <c r="C37" s="3">
        <f>IF(A37="","",IFERROR(INDEX(マスタ!$C$2:$C$4,MATCH(A37&amp;"",マスタ!$A$2:$A$4,0)),""))</f>
      </c>
      <c r="E37">
        <f>IF(B37="",E36,IF(E36="",B37,E36&amp;","&amp;B37))</f>
      </c>
    </row>
    <row r="38">
      <c r="A38" s="2">
        <f>IF(B3="","",TRIM(MID(SUBSTITUTE(SUBSTITUTE(SUBSTITUTE(B3&amp;"","、",","),"，",",")&amp;",",",",REPT(" ",20)),601,20)))</f>
      </c>
      <c r="B38" s="10">
        <f>IF(A38="","",IFERROR(INDEX(マスタ!$B$2:$B$4,MATCH(A38&amp;"",マスタ!$A$2:$A$4,0)),"該当なし"))</f>
      </c>
      <c r="C38" s="3">
        <f>IF(A38="","",IFERROR(INDEX(マスタ!$C$2:$C$4,MATCH(A38&amp;"",マスタ!$A$2:$A$4,0)),""))</f>
      </c>
      <c r="E38">
        <f>IF(B38="",E37,IF(E37="",B38,E37&amp;","&amp;B38))</f>
      </c>
    </row>
    <row r="39">
      <c r="A39" s="2">
        <f>IF(B3="","",TRIM(MID(SUBSTITUTE(SUBSTITUTE(SUBSTITUTE(B3&amp;"","、",","),"，",",")&amp;",",",",REPT(" ",20)),621,20)))</f>
      </c>
      <c r="B39" s="10">
        <f>IF(A39="","",IFERROR(INDEX(マスタ!$B$2:$B$4,MATCH(A39&amp;"",マスタ!$A$2:$A$4,0)),"該当なし"))</f>
      </c>
      <c r="C39" s="3">
        <f>IF(A39="","",IFERROR(INDEX(マスタ!$C$2:$C$4,MATCH(A39&amp;"",マスタ!$A$2:$A$4,0)),""))</f>
      </c>
      <c r="E39">
        <f>IF(B39="",E38,IF(E38="",B39,E38&amp;","&amp;B39))</f>
      </c>
    </row>
    <row r="40">
      <c r="A40" s="2">
        <f>IF(B3="","",TRIM(MID(SUBSTITUTE(SUBSTITUTE(SUBSTITUTE(B3&amp;"","、",","),"，",",")&amp;",",",",REPT(" ",20)),641,20)))</f>
      </c>
      <c r="B40" s="10">
        <f>IF(A40="","",IFERROR(INDEX(マスタ!$B$2:$B$4,MATCH(A40&amp;"",マスタ!$A$2:$A$4,0)),"該当なし"))</f>
      </c>
      <c r="C40" s="3">
        <f>IF(A40="","",IFERROR(INDEX(マスタ!$C$2:$C$4,MATCH(A40&amp;"",マスタ!$A$2:$A$4,0)),""))</f>
      </c>
      <c r="E40">
        <f>IF(B40="",E39,IF(E39="",B40,E39&amp;","&amp;B40))</f>
      </c>
    </row>
    <row r="41">
      <c r="A41" s="2">
        <f>IF(B3="","",TRIM(MID(SUBSTITUTE(SUBSTITUTE(SUBSTITUTE(B3&amp;"","、",","),"，",",")&amp;",",",",REPT(" ",20)),661,20)))</f>
      </c>
      <c r="B41" s="10">
        <f>IF(A41="","",IFERROR(INDEX(マスタ!$B$2:$B$4,MATCH(A41&amp;"",マスタ!$A$2:$A$4,0)),"該当なし"))</f>
      </c>
      <c r="C41" s="3">
        <f>IF(A41="","",IFERROR(INDEX(マスタ!$C$2:$C$4,MATCH(A41&amp;"",マスタ!$A$2:$A$4,0)),""))</f>
      </c>
      <c r="E41">
        <f>IF(B41="",E40,IF(E40="",B41,E40&amp;","&amp;B41))</f>
      </c>
    </row>
    <row r="42">
      <c r="A42" s="2">
        <f>IF(B3="","",TRIM(MID(SUBSTITUTE(SUBSTITUTE(SUBSTITUTE(B3&amp;"","、",","),"，",",")&amp;",",",",REPT(" ",20)),681,20)))</f>
      </c>
      <c r="B42" s="10">
        <f>IF(A42="","",IFERROR(INDEX(マスタ!$B$2:$B$4,MATCH(A42&amp;"",マスタ!$A$2:$A$4,0)),"該当なし"))</f>
      </c>
      <c r="C42" s="3">
        <f>IF(A42="","",IFERROR(INDEX(マスタ!$C$2:$C$4,MATCH(A42&amp;"",マスタ!$A$2:$A$4,0)),""))</f>
      </c>
      <c r="E42">
        <f>IF(B42="",E41,IF(E41="",B42,E41&amp;","&amp;B42))</f>
      </c>
    </row>
    <row r="43">
      <c r="A43" s="2">
        <f>IF(B3="","",TRIM(MID(SUBSTITUTE(SUBSTITUTE(SUBSTITUTE(B3&amp;"","、",","),"，",",")&amp;",",",",REPT(" ",20)),701,20)))</f>
      </c>
      <c r="B43" s="10">
        <f>IF(A43="","",IFERROR(INDEX(マスタ!$B$2:$B$4,MATCH(A43&amp;"",マスタ!$A$2:$A$4,0)),"該当なし"))</f>
      </c>
      <c r="C43" s="3">
        <f>IF(A43="","",IFERROR(INDEX(マスタ!$C$2:$C$4,MATCH(A43&amp;"",マスタ!$A$2:$A$4,0)),""))</f>
      </c>
      <c r="E43">
        <f>IF(B43="",E42,IF(E42="",B43,E42&amp;","&amp;B43))</f>
      </c>
    </row>
    <row r="44">
      <c r="A44" s="2">
        <f>IF(B3="","",TRIM(MID(SUBSTITUTE(SUBSTITUTE(SUBSTITUTE(B3&amp;"","、",","),"，",",")&amp;",",",",REPT(" ",20)),721,20)))</f>
      </c>
      <c r="B44" s="10">
        <f>IF(A44="","",IFERROR(INDEX(マスタ!$B$2:$B$4,MATCH(A44&amp;"",マスタ!$A$2:$A$4,0)),"該当なし"))</f>
      </c>
      <c r="C44" s="3">
        <f>IF(A44="","",IFERROR(INDEX(マスタ!$C$2:$C$4,MATCH(A44&amp;"",マスタ!$A$2:$A$4,0)),""))</f>
      </c>
      <c r="E44">
        <f>IF(B44="",E43,IF(E43="",B44,E43&amp;","&amp;B44))</f>
      </c>
    </row>
    <row r="45">
      <c r="A45" s="2">
        <f>IF(B3="","",TRIM(MID(SUBSTITUTE(SUBSTITUTE(SUBSTITUTE(B3&amp;"","、",","),"，",",")&amp;",",",",REPT(" ",20)),741,20)))</f>
      </c>
      <c r="B45" s="10">
        <f>IF(A45="","",IFERROR(INDEX(マスタ!$B$2:$B$4,MATCH(A45&amp;"",マスタ!$A$2:$A$4,0)),"該当なし"))</f>
      </c>
      <c r="C45" s="3">
        <f>IF(A45="","",IFERROR(INDEX(マスタ!$C$2:$C$4,MATCH(A45&amp;"",マスタ!$A$2:$A$4,0)),""))</f>
      </c>
      <c r="E45">
        <f>IF(B45="",E44,IF(E44="",B45,E44&amp;","&amp;B45))</f>
      </c>
    </row>
    <row r="46">
      <c r="A46" s="2">
        <f>IF(B3="","",TRIM(MID(SUBSTITUTE(SUBSTITUTE(SUBSTITUTE(B3&amp;"","、",","),"，",",")&amp;",",",",REPT(" ",20)),761,20)))</f>
      </c>
      <c r="B46" s="10">
        <f>IF(A46="","",IFERROR(INDEX(マスタ!$B$2:$B$4,MATCH(A46&amp;"",マスタ!$A$2:$A$4,0)),"該当なし"))</f>
      </c>
      <c r="C46" s="3">
        <f>IF(A46="","",IFERROR(INDEX(マスタ!$C$2:$C$4,MATCH(A46&amp;"",マスタ!$A$2:$A$4,0)),""))</f>
      </c>
      <c r="E46">
        <f>IF(B46="",E45,IF(E45="",B46,E45&amp;","&amp;B46))</f>
      </c>
    </row>
    <row r="47">
      <c r="A47" s="2">
        <f>IF(B3="","",TRIM(MID(SUBSTITUTE(SUBSTITUTE(SUBSTITUTE(B3&amp;"","、",","),"，",",")&amp;",",",",REPT(" ",20)),781,20)))</f>
      </c>
      <c r="B47" s="10">
        <f>IF(A47="","",IFERROR(INDEX(マスタ!$B$2:$B$4,MATCH(A47&amp;"",マスタ!$A$2:$A$4,0)),"該当なし"))</f>
      </c>
      <c r="C47" s="3">
        <f>IF(A47="","",IFERROR(INDEX(マスタ!$C$2:$C$4,MATCH(A47&amp;"",マスタ!$A$2:$A$4,0)),""))</f>
      </c>
      <c r="E47">
        <f>IF(B47="",E46,IF(E46="",B47,E46&amp;","&amp;B47))</f>
      </c>
    </row>
    <row r="48">
      <c r="A48" s="2">
        <f>IF(B3="","",TRIM(MID(SUBSTITUTE(SUBSTITUTE(SUBSTITUTE(B3&amp;"","、",","),"，",",")&amp;",",",",REPT(" ",20)),801,20)))</f>
      </c>
      <c r="B48" s="10">
        <f>IF(A48="","",IFERROR(INDEX(マスタ!$B$2:$B$4,MATCH(A48&amp;"",マスタ!$A$2:$A$4,0)),"該当なし"))</f>
      </c>
      <c r="C48" s="3">
        <f>IF(A48="","",IFERROR(INDEX(マスタ!$C$2:$C$4,MATCH(A48&amp;"",マスタ!$A$2:$A$4,0)),""))</f>
      </c>
      <c r="E48">
        <f>IF(B48="",E47,IF(E47="",B48,E47&amp;","&amp;B48))</f>
      </c>
    </row>
    <row r="49">
      <c r="A49" s="2">
        <f>IF(B3="","",TRIM(MID(SUBSTITUTE(SUBSTITUTE(SUBSTITUTE(B3&amp;"","、",","),"，",",")&amp;",",",",REPT(" ",20)),821,20)))</f>
      </c>
      <c r="B49" s="10">
        <f>IF(A49="","",IFERROR(INDEX(マスタ!$B$2:$B$4,MATCH(A49&amp;"",マスタ!$A$2:$A$4,0)),"該当なし"))</f>
      </c>
      <c r="C49" s="3">
        <f>IF(A49="","",IFERROR(INDEX(マスタ!$C$2:$C$4,MATCH(A49&amp;"",マスタ!$A$2:$A$4,0)),""))</f>
      </c>
      <c r="E49">
        <f>IF(B49="",E48,IF(E48="",B49,E48&amp;","&amp;B49))</f>
      </c>
    </row>
    <row r="50">
      <c r="A50" s="2">
        <f>IF(B3="","",TRIM(MID(SUBSTITUTE(SUBSTITUTE(SUBSTITUTE(B3&amp;"","、",","),"，",",")&amp;",",",",REPT(" ",20)),841,20)))</f>
      </c>
      <c r="B50" s="10">
        <f>IF(A50="","",IFERROR(INDEX(マスタ!$B$2:$B$4,MATCH(A50&amp;"",マスタ!$A$2:$A$4,0)),"該当なし"))</f>
      </c>
      <c r="C50" s="3">
        <f>IF(A50="","",IFERROR(INDEX(マスタ!$C$2:$C$4,MATCH(A50&amp;"",マスタ!$A$2:$A$4,0)),""))</f>
      </c>
      <c r="E50">
        <f>IF(B50="",E49,IF(E49="",B50,E49&amp;","&amp;B50))</f>
      </c>
    </row>
    <row r="51">
      <c r="A51" s="2">
        <f>IF(B3="","",TRIM(MID(SUBSTITUTE(SUBSTITUTE(SUBSTITUTE(B3&amp;"","、",","),"，",",")&amp;",",",",REPT(" ",20)),861,20)))</f>
      </c>
      <c r="B51" s="10">
        <f>IF(A51="","",IFERROR(INDEX(マスタ!$B$2:$B$4,MATCH(A51&amp;"",マスタ!$A$2:$A$4,0)),"該当なし"))</f>
      </c>
      <c r="C51" s="3">
        <f>IF(A51="","",IFERROR(INDEX(マスタ!$C$2:$C$4,MATCH(A51&amp;"",マスタ!$A$2:$A$4,0)),""))</f>
      </c>
      <c r="E51">
        <f>IF(B51="",E50,IF(E50="",B51,E50&amp;","&amp;B51))</f>
      </c>
    </row>
    <row r="52">
      <c r="A52" s="2">
        <f>IF(B3="","",TRIM(MID(SUBSTITUTE(SUBSTITUTE(SUBSTITUTE(B3&amp;"","、",","),"，",",")&amp;",",",",REPT(" ",20)),881,20)))</f>
      </c>
      <c r="B52" s="10">
        <f>IF(A52="","",IFERROR(INDEX(マスタ!$B$2:$B$4,MATCH(A52&amp;"",マスタ!$A$2:$A$4,0)),"該当なし"))</f>
      </c>
      <c r="C52" s="3">
        <f>IF(A52="","",IFERROR(INDEX(マスタ!$C$2:$C$4,MATCH(A52&amp;"",マスタ!$A$2:$A$4,0)),""))</f>
      </c>
      <c r="E52">
        <f>IF(B52="",E51,IF(E51="",B52,E51&amp;","&amp;B52))</f>
      </c>
    </row>
    <row r="53">
      <c r="A53" s="2">
        <f>IF(B3="","",TRIM(MID(SUBSTITUTE(SUBSTITUTE(SUBSTITUTE(B3&amp;"","、",","),"，",",")&amp;",",",",REPT(" ",20)),901,20)))</f>
      </c>
      <c r="B53" s="10">
        <f>IF(A53="","",IFERROR(INDEX(マスタ!$B$2:$B$4,MATCH(A53&amp;"",マスタ!$A$2:$A$4,0)),"該当なし"))</f>
      </c>
      <c r="C53" s="3">
        <f>IF(A53="","",IFERROR(INDEX(マスタ!$C$2:$C$4,MATCH(A53&amp;"",マスタ!$A$2:$A$4,0)),""))</f>
      </c>
      <c r="E53">
        <f>IF(B53="",E52,IF(E52="",B53,E52&amp;","&amp;B53))</f>
      </c>
    </row>
    <row r="54">
      <c r="A54" s="2">
        <f>IF(B3="","",TRIM(MID(SUBSTITUTE(SUBSTITUTE(SUBSTITUTE(B3&amp;"","、",","),"，",",")&amp;",",",",REPT(" ",20)),921,20)))</f>
      </c>
      <c r="B54" s="10">
        <f>IF(A54="","",IFERROR(INDEX(マスタ!$B$2:$B$4,MATCH(A54&amp;"",マスタ!$A$2:$A$4,0)),"該当なし"))</f>
      </c>
      <c r="C54" s="3">
        <f>IF(A54="","",IFERROR(INDEX(マスタ!$C$2:$C$4,MATCH(A54&amp;"",マスタ!$A$2:$A$4,0)),""))</f>
      </c>
      <c r="E54">
        <f>IF(B54="",E53,IF(E53="",B54,E53&amp;","&amp;B54))</f>
      </c>
    </row>
    <row r="55">
      <c r="A55" s="2">
        <f>IF(B3="","",TRIM(MID(SUBSTITUTE(SUBSTITUTE(SUBSTITUTE(B3&amp;"","、",","),"，",",")&amp;",",",",REPT(" ",20)),941,20)))</f>
      </c>
      <c r="B55" s="10">
        <f>IF(A55="","",IFERROR(INDEX(マスタ!$B$2:$B$4,MATCH(A55&amp;"",マスタ!$A$2:$A$4,0)),"該当なし"))</f>
      </c>
      <c r="C55" s="3">
        <f>IF(A55="","",IFERROR(INDEX(マスタ!$C$2:$C$4,MATCH(A55&amp;"",マスタ!$A$2:$A$4,0)),""))</f>
      </c>
      <c r="E55">
        <f>IF(B55="",E54,IF(E54="",B55,E54&amp;","&amp;B55))</f>
      </c>
    </row>
    <row r="56">
      <c r="A56" s="2">
        <f>IF(B3="","",TRIM(MID(SUBSTITUTE(SUBSTITUTE(SUBSTITUTE(B3&amp;"","、",","),"，",",")&amp;",",",",REPT(" ",20)),961,20)))</f>
      </c>
      <c r="B56" s="10">
        <f>IF(A56="","",IFERROR(INDEX(マスタ!$B$2:$B$4,MATCH(A56&amp;"",マスタ!$A$2:$A$4,0)),"該当なし"))</f>
      </c>
      <c r="C56" s="3">
        <f>IF(A56="","",IFERROR(INDEX(マスタ!$C$2:$C$4,MATCH(A56&amp;"",マスタ!$A$2:$A$4,0)),""))</f>
      </c>
      <c r="E56">
        <f>IF(B56="",E55,IF(E55="",B56,E55&amp;","&amp;B56))</f>
      </c>
    </row>
    <row r="57">
      <c r="A57" s="2">
        <f>IF(B3="","",TRIM(MID(SUBSTITUTE(SUBSTITUTE(SUBSTITUTE(B3&amp;"","、",","),"，",",")&amp;",",",",REPT(" ",20)),981,20)))</f>
      </c>
      <c r="B57" s="10">
        <f>IF(A57="","",IFERROR(INDEX(マスタ!$B$2:$B$4,MATCH(A57&amp;"",マスタ!$A$2:$A$4,0)),"該当なし"))</f>
      </c>
      <c r="C57" s="3">
        <f>IF(A57="","",IFERROR(INDEX(マスタ!$C$2:$C$4,MATCH(A57&amp;"",マスタ!$A$2:$A$4,0)),""))</f>
      </c>
      <c r="E57">
        <f>IF(B57="",E56,IF(E56="",B57,E56&amp;","&amp;B57))</f>
      </c>
    </row>
    <row r="58">
      <c r="A58" s="2">
        <f>IF(B3="","",TRIM(MID(SUBSTITUTE(SUBSTITUTE(SUBSTITUTE(B3&amp;"","、",","),"，",",")&amp;",",",",REPT(" ",20)),1001,20)))</f>
      </c>
      <c r="B58" s="10">
        <f>IF(A58="","",IFERROR(INDEX(マスタ!$B$2:$B$4,MATCH(A58&amp;"",マスタ!$A$2:$A$4,0)),"該当なし"))</f>
      </c>
      <c r="C58" s="3">
        <f>IF(A58="","",IFERROR(INDEX(マスタ!$C$2:$C$4,MATCH(A58&amp;"",マスタ!$A$2:$A$4,0)),""))</f>
      </c>
      <c r="E58">
        <f>IF(B58="",E57,IF(E57="",B58,E57&amp;","&amp;B58))</f>
      </c>
    </row>
    <row r="59">
      <c r="A59" s="2">
        <f>IF(B3="","",TRIM(MID(SUBSTITUTE(SUBSTITUTE(SUBSTITUTE(B3&amp;"","、",","),"，",",")&amp;",",",",REPT(" ",20)),1021,20)))</f>
      </c>
      <c r="B59" s="10">
        <f>IF(A59="","",IFERROR(INDEX(マスタ!$B$2:$B$4,MATCH(A59&amp;"",マスタ!$A$2:$A$4,0)),"該当なし"))</f>
      </c>
      <c r="C59" s="3">
        <f>IF(A59="","",IFERROR(INDEX(マスタ!$C$2:$C$4,MATCH(A59&amp;"",マスタ!$A$2:$A$4,0)),""))</f>
      </c>
      <c r="E59">
        <f>IF(B59="",E58,IF(E58="",B59,E58&amp;","&amp;B59))</f>
      </c>
    </row>
    <row r="60">
      <c r="A60" s="2">
        <f>IF(B3="","",TRIM(MID(SUBSTITUTE(SUBSTITUTE(SUBSTITUTE(B3&amp;"","、",","),"，",",")&amp;",",",",REPT(" ",20)),1041,20)))</f>
      </c>
      <c r="B60" s="10">
        <f>IF(A60="","",IFERROR(INDEX(マスタ!$B$2:$B$4,MATCH(A60&amp;"",マスタ!$A$2:$A$4,0)),"該当なし"))</f>
      </c>
      <c r="C60" s="3">
        <f>IF(A60="","",IFERROR(INDEX(マスタ!$C$2:$C$4,MATCH(A60&amp;"",マスタ!$A$2:$A$4,0)),""))</f>
      </c>
      <c r="E60">
        <f>IF(B60="",E59,IF(E59="",B60,E59&amp;","&amp;B60))</f>
      </c>
    </row>
    <row r="61">
      <c r="A61" s="2">
        <f>IF(B3="","",TRIM(MID(SUBSTITUTE(SUBSTITUTE(SUBSTITUTE(B3&amp;"","、",","),"，",",")&amp;",",",",REPT(" ",20)),1061,20)))</f>
      </c>
      <c r="B61" s="10">
        <f>IF(A61="","",IFERROR(INDEX(マスタ!$B$2:$B$4,MATCH(A61&amp;"",マスタ!$A$2:$A$4,0)),"該当なし"))</f>
      </c>
      <c r="C61" s="3">
        <f>IF(A61="","",IFERROR(INDEX(マスタ!$C$2:$C$4,MATCH(A61&amp;"",マスタ!$A$2:$A$4,0)),""))</f>
      </c>
      <c r="E61">
        <f>IF(B61="",E60,IF(E60="",B61,E60&amp;","&amp;B61))</f>
      </c>
    </row>
    <row r="62">
      <c r="A62" s="2">
        <f>IF(B3="","",TRIM(MID(SUBSTITUTE(SUBSTITUTE(SUBSTITUTE(B3&amp;"","、",","),"，",",")&amp;",",",",REPT(" ",20)),1081,20)))</f>
      </c>
      <c r="B62" s="10">
        <f>IF(A62="","",IFERROR(INDEX(マスタ!$B$2:$B$4,MATCH(A62&amp;"",マスタ!$A$2:$A$4,0)),"該当なし"))</f>
      </c>
      <c r="C62" s="3">
        <f>IF(A62="","",IFERROR(INDEX(マスタ!$C$2:$C$4,MATCH(A62&amp;"",マスタ!$A$2:$A$4,0)),""))</f>
      </c>
      <c r="E62">
        <f>IF(B62="",E61,IF(E61="",B62,E61&amp;","&amp;B62))</f>
      </c>
    </row>
    <row r="63">
      <c r="A63" s="2">
        <f>IF(B3="","",TRIM(MID(SUBSTITUTE(SUBSTITUTE(SUBSTITUTE(B3&amp;"","、",","),"，",",")&amp;",",",",REPT(" ",20)),1101,20)))</f>
      </c>
      <c r="B63" s="10">
        <f>IF(A63="","",IFERROR(INDEX(マスタ!$B$2:$B$4,MATCH(A63&amp;"",マスタ!$A$2:$A$4,0)),"該当なし"))</f>
      </c>
      <c r="C63" s="3">
        <f>IF(A63="","",IFERROR(INDEX(マスタ!$C$2:$C$4,MATCH(A63&amp;"",マスタ!$A$2:$A$4,0)),""))</f>
      </c>
      <c r="E63">
        <f>IF(B63="",E62,IF(E62="",B63,E62&amp;","&amp;B63))</f>
      </c>
    </row>
    <row r="64">
      <c r="A64" s="2">
        <f>IF(B3="","",TRIM(MID(SUBSTITUTE(SUBSTITUTE(SUBSTITUTE(B3&amp;"","、",","),"，",",")&amp;",",",",REPT(" ",20)),1121,20)))</f>
      </c>
      <c r="B64" s="10">
        <f>IF(A64="","",IFERROR(INDEX(マスタ!$B$2:$B$4,MATCH(A64&amp;"",マスタ!$A$2:$A$4,0)),"該当なし"))</f>
      </c>
      <c r="C64" s="3">
        <f>IF(A64="","",IFERROR(INDEX(マスタ!$C$2:$C$4,MATCH(A64&amp;"",マスタ!$A$2:$A$4,0)),""))</f>
      </c>
      <c r="E64">
        <f>IF(B64="",E63,IF(E63="",B64,E63&amp;","&amp;B64))</f>
      </c>
    </row>
    <row r="65">
      <c r="A65" s="2">
        <f>IF(B3="","",TRIM(MID(SUBSTITUTE(SUBSTITUTE(SUBSTITUTE(B3&amp;"","、",","),"，",",")&amp;",",",",REPT(" ",20)),1141,20)))</f>
      </c>
      <c r="B65" s="10">
        <f>IF(A65="","",IFERROR(INDEX(マスタ!$B$2:$B$4,MATCH(A65&amp;"",マスタ!$A$2:$A$4,0)),"該当なし"))</f>
      </c>
      <c r="C65" s="3">
        <f>IF(A65="","",IFERROR(INDEX(マスタ!$C$2:$C$4,MATCH(A65&amp;"",マスタ!$A$2:$A$4,0)),""))</f>
      </c>
      <c r="E65">
        <f>IF(B65="",E64,IF(E64="",B65,E64&amp;","&amp;B65))</f>
      </c>
    </row>
    <row r="66">
      <c r="A66" s="2">
        <f>IF(B3="","",TRIM(MID(SUBSTITUTE(SUBSTITUTE(SUBSTITUTE(B3&amp;"","、",","),"，",",")&amp;",",",",REPT(" ",20)),1161,20)))</f>
      </c>
      <c r="B66" s="10">
        <f>IF(A66="","",IFERROR(INDEX(マスタ!$B$2:$B$4,MATCH(A66&amp;"",マスタ!$A$2:$A$4,0)),"該当なし"))</f>
      </c>
      <c r="C66" s="3">
        <f>IF(A66="","",IFERROR(INDEX(マスタ!$C$2:$C$4,MATCH(A66&amp;"",マスタ!$A$2:$A$4,0)),""))</f>
      </c>
      <c r="E66">
        <f>IF(B66="",E65,IF(E65="",B66,E65&amp;","&amp;B66))</f>
      </c>
    </row>
    <row r="67">
      <c r="A67" s="2">
        <f>IF(B3="","",TRIM(MID(SUBSTITUTE(SUBSTITUTE(SUBSTITUTE(B3&amp;"","、",","),"，",",")&amp;",",",",REPT(" ",20)),1181,20)))</f>
      </c>
      <c r="B67" s="10">
        <f>IF(A67="","",IFERROR(INDEX(マスタ!$B$2:$B$4,MATCH(A67&amp;"",マスタ!$A$2:$A$4,0)),"該当なし"))</f>
      </c>
      <c r="C67" s="3">
        <f>IF(A67="","",IFERROR(INDEX(マスタ!$C$2:$C$4,MATCH(A67&amp;"",マスタ!$A$2:$A$4,0)),""))</f>
      </c>
      <c r="E67">
        <f>IF(B67="",E66,IF(E66="",B67,E66&amp;","&amp;B67))</f>
      </c>
    </row>
    <row r="68">
      <c r="A68" s="2">
        <f>IF(B3="","",TRIM(MID(SUBSTITUTE(SUBSTITUTE(SUBSTITUTE(B3&amp;"","、",","),"，",",")&amp;",",",",REPT(" ",20)),1201,20)))</f>
      </c>
      <c r="B68" s="10">
        <f>IF(A68="","",IFERROR(INDEX(マスタ!$B$2:$B$4,MATCH(A68&amp;"",マスタ!$A$2:$A$4,0)),"該当なし"))</f>
      </c>
      <c r="C68" s="3">
        <f>IF(A68="","",IFERROR(INDEX(マスタ!$C$2:$C$4,MATCH(A68&amp;"",マスタ!$A$2:$A$4,0)),""))</f>
      </c>
      <c r="E68">
        <f>IF(B68="",E67,IF(E67="",B68,E67&amp;","&amp;B68))</f>
      </c>
    </row>
    <row r="69">
      <c r="A69" s="2">
        <f>IF(B3="","",TRIM(MID(SUBSTITUTE(SUBSTITUTE(SUBSTITUTE(B3&amp;"","、",","),"，",",")&amp;",",",",REPT(" ",20)),1221,20)))</f>
      </c>
      <c r="B69" s="10">
        <f>IF(A69="","",IFERROR(INDEX(マスタ!$B$2:$B$4,MATCH(A69&amp;"",マスタ!$A$2:$A$4,0)),"該当なし"))</f>
      </c>
      <c r="C69" s="3">
        <f>IF(A69="","",IFERROR(INDEX(マスタ!$C$2:$C$4,MATCH(A69&amp;"",マスタ!$A$2:$A$4,0)),""))</f>
      </c>
      <c r="E69">
        <f>IF(B69="",E68,IF(E68="",B69,E68&amp;","&amp;B69))</f>
      </c>
    </row>
    <row r="70">
      <c r="A70" s="2">
        <f>IF(B3="","",TRIM(MID(SUBSTITUTE(SUBSTITUTE(SUBSTITUTE(B3&amp;"","、",","),"，",",")&amp;",",",",REPT(" ",20)),1241,20)))</f>
      </c>
      <c r="B70" s="10">
        <f>IF(A70="","",IFERROR(INDEX(マスタ!$B$2:$B$4,MATCH(A70&amp;"",マスタ!$A$2:$A$4,0)),"該当なし"))</f>
      </c>
      <c r="C70" s="3">
        <f>IF(A70="","",IFERROR(INDEX(マスタ!$C$2:$C$4,MATCH(A70&amp;"",マスタ!$A$2:$A$4,0)),""))</f>
      </c>
      <c r="E70">
        <f>IF(B70="",E69,IF(E69="",B70,E69&amp;","&amp;B70))</f>
      </c>
    </row>
    <row r="71">
      <c r="A71" s="2">
        <f>IF(B3="","",TRIM(MID(SUBSTITUTE(SUBSTITUTE(SUBSTITUTE(B3&amp;"","、",","),"，",",")&amp;",",",",REPT(" ",20)),1261,20)))</f>
      </c>
      <c r="B71" s="10">
        <f>IF(A71="","",IFERROR(INDEX(マスタ!$B$2:$B$4,MATCH(A71&amp;"",マスタ!$A$2:$A$4,0)),"該当なし"))</f>
      </c>
      <c r="C71" s="3">
        <f>IF(A71="","",IFERROR(INDEX(マスタ!$C$2:$C$4,MATCH(A71&amp;"",マスタ!$A$2:$A$4,0)),""))</f>
      </c>
      <c r="E71">
        <f>IF(B71="",E70,IF(E70="",B71,E70&amp;","&amp;B71))</f>
      </c>
    </row>
    <row r="72">
      <c r="A72" s="2">
        <f>IF(B3="","",TRIM(MID(SUBSTITUTE(SUBSTITUTE(SUBSTITUTE(B3&amp;"","、",","),"，",",")&amp;",",",",REPT(" ",20)),1281,20)))</f>
      </c>
      <c r="B72" s="10">
        <f>IF(A72="","",IFERROR(INDEX(マスタ!$B$2:$B$4,MATCH(A72&amp;"",マスタ!$A$2:$A$4,0)),"該当なし"))</f>
      </c>
      <c r="C72" s="3">
        <f>IF(A72="","",IFERROR(INDEX(マスタ!$C$2:$C$4,MATCH(A72&amp;"",マスタ!$A$2:$A$4,0)),""))</f>
      </c>
      <c r="E72">
        <f>IF(B72="",E71,IF(E71="",B72,E71&amp;","&amp;B72))</f>
      </c>
    </row>
    <row r="73">
      <c r="A73" s="2">
        <f>IF(B3="","",TRIM(MID(SUBSTITUTE(SUBSTITUTE(SUBSTITUTE(B3&amp;"","、",","),"，",",")&amp;",",",",REPT(" ",20)),1301,20)))</f>
      </c>
      <c r="B73" s="10">
        <f>IF(A73="","",IFERROR(INDEX(マスタ!$B$2:$B$4,MATCH(A73&amp;"",マスタ!$A$2:$A$4,0)),"該当なし"))</f>
      </c>
      <c r="C73" s="3">
        <f>IF(A73="","",IFERROR(INDEX(マスタ!$C$2:$C$4,MATCH(A73&amp;"",マスタ!$A$2:$A$4,0)),""))</f>
      </c>
      <c r="E73">
        <f>IF(B73="",E72,IF(E72="",B73,E72&amp;","&amp;B73))</f>
      </c>
    </row>
    <row r="74">
      <c r="A74" s="2">
        <f>IF(B3="","",TRIM(MID(SUBSTITUTE(SUBSTITUTE(SUBSTITUTE(B3&amp;"","、",","),"，",",")&amp;",",",",REPT(" ",20)),1321,20)))</f>
      </c>
      <c r="B74" s="10">
        <f>IF(A74="","",IFERROR(INDEX(マスタ!$B$2:$B$4,MATCH(A74&amp;"",マスタ!$A$2:$A$4,0)),"該当なし"))</f>
      </c>
      <c r="C74" s="3">
        <f>IF(A74="","",IFERROR(INDEX(マスタ!$C$2:$C$4,MATCH(A74&amp;"",マスタ!$A$2:$A$4,0)),""))</f>
      </c>
      <c r="E74">
        <f>IF(B74="",E73,IF(E73="",B74,E73&amp;","&amp;B74))</f>
      </c>
    </row>
    <row r="75">
      <c r="A75" s="2">
        <f>IF(B3="","",TRIM(MID(SUBSTITUTE(SUBSTITUTE(SUBSTITUTE(B3&amp;"","、",","),"，",",")&amp;",",",",REPT(" ",20)),1341,20)))</f>
      </c>
      <c r="B75" s="10">
        <f>IF(A75="","",IFERROR(INDEX(マスタ!$B$2:$B$4,MATCH(A75&amp;"",マスタ!$A$2:$A$4,0)),"該当なし"))</f>
      </c>
      <c r="C75" s="3">
        <f>IF(A75="","",IFERROR(INDEX(マスタ!$C$2:$C$4,MATCH(A75&amp;"",マスタ!$A$2:$A$4,0)),""))</f>
      </c>
      <c r="E75">
        <f>IF(B75="",E74,IF(E74="",B75,E74&amp;","&amp;B75))</f>
      </c>
    </row>
    <row r="76">
      <c r="A76" s="2">
        <f>IF(B3="","",TRIM(MID(SUBSTITUTE(SUBSTITUTE(SUBSTITUTE(B3&amp;"","、",","),"，",",")&amp;",",",",REPT(" ",20)),1361,20)))</f>
      </c>
      <c r="B76" s="10">
        <f>IF(A76="","",IFERROR(INDEX(マスタ!$B$2:$B$4,MATCH(A76&amp;"",マスタ!$A$2:$A$4,0)),"該当なし"))</f>
      </c>
      <c r="C76" s="3">
        <f>IF(A76="","",IFERROR(INDEX(マスタ!$C$2:$C$4,MATCH(A76&amp;"",マスタ!$A$2:$A$4,0)),""))</f>
      </c>
      <c r="E76">
        <f>IF(B76="",E75,IF(E75="",B76,E75&amp;","&amp;B76))</f>
      </c>
    </row>
    <row r="77">
      <c r="A77" s="2">
        <f>IF(B3="","",TRIM(MID(SUBSTITUTE(SUBSTITUTE(SUBSTITUTE(B3&amp;"","、",","),"，",",")&amp;",",",",REPT(" ",20)),1381,20)))</f>
      </c>
      <c r="B77" s="10">
        <f>IF(A77="","",IFERROR(INDEX(マスタ!$B$2:$B$4,MATCH(A77&amp;"",マスタ!$A$2:$A$4,0)),"該当なし"))</f>
      </c>
      <c r="C77" s="3">
        <f>IF(A77="","",IFERROR(INDEX(マスタ!$C$2:$C$4,MATCH(A77&amp;"",マスタ!$A$2:$A$4,0)),""))</f>
      </c>
      <c r="E77">
        <f>IF(B77="",E76,IF(E76="",B77,E76&amp;","&amp;B77))</f>
      </c>
    </row>
    <row r="78">
      <c r="A78" s="2">
        <f>IF(B3="","",TRIM(MID(SUBSTITUTE(SUBSTITUTE(SUBSTITUTE(B3&amp;"","、",","),"，",",")&amp;",",",",REPT(" ",20)),1401,20)))</f>
      </c>
      <c r="B78" s="10">
        <f>IF(A78="","",IFERROR(INDEX(マスタ!$B$2:$B$4,MATCH(A78&amp;"",マスタ!$A$2:$A$4,0)),"該当なし"))</f>
      </c>
      <c r="C78" s="3">
        <f>IF(A78="","",IFERROR(INDEX(マスタ!$C$2:$C$4,MATCH(A78&amp;"",マスタ!$A$2:$A$4,0)),""))</f>
      </c>
      <c r="E78">
        <f>IF(B78="",E77,IF(E77="",B78,E77&amp;","&amp;B78))</f>
      </c>
    </row>
    <row r="79">
      <c r="A79" s="2">
        <f>IF(B3="","",TRIM(MID(SUBSTITUTE(SUBSTITUTE(SUBSTITUTE(B3&amp;"","、",","),"，",",")&amp;",",",",REPT(" ",20)),1421,20)))</f>
      </c>
      <c r="B79" s="10">
        <f>IF(A79="","",IFERROR(INDEX(マスタ!$B$2:$B$4,MATCH(A79&amp;"",マスタ!$A$2:$A$4,0)),"該当なし"))</f>
      </c>
      <c r="C79" s="3">
        <f>IF(A79="","",IFERROR(INDEX(マスタ!$C$2:$C$4,MATCH(A79&amp;"",マスタ!$A$2:$A$4,0)),""))</f>
      </c>
      <c r="E79">
        <f>IF(B79="",E78,IF(E78="",B79,E78&amp;","&amp;B79))</f>
      </c>
    </row>
    <row r="80">
      <c r="A80" s="2">
        <f>IF(B3="","",TRIM(MID(SUBSTITUTE(SUBSTITUTE(SUBSTITUTE(B3&amp;"","、",","),"，",",")&amp;",",",",REPT(" ",20)),1441,20)))</f>
      </c>
      <c r="B80" s="10">
        <f>IF(A80="","",IFERROR(INDEX(マスタ!$B$2:$B$4,MATCH(A80&amp;"",マスタ!$A$2:$A$4,0)),"該当なし"))</f>
      </c>
      <c r="C80" s="3">
        <f>IF(A80="","",IFERROR(INDEX(マスタ!$C$2:$C$4,MATCH(A80&amp;"",マスタ!$A$2:$A$4,0)),""))</f>
      </c>
      <c r="E80">
        <f>IF(B80="",E79,IF(E79="",B80,E79&amp;","&amp;B80))</f>
      </c>
    </row>
    <row r="81">
      <c r="A81" s="2">
        <f>IF(B3="","",TRIM(MID(SUBSTITUTE(SUBSTITUTE(SUBSTITUTE(B3&amp;"","、",","),"，",",")&amp;",",",",REPT(" ",20)),1461,20)))</f>
      </c>
      <c r="B81" s="10">
        <f>IF(A81="","",IFERROR(INDEX(マスタ!$B$2:$B$4,MATCH(A81&amp;"",マスタ!$A$2:$A$4,0)),"該当なし"))</f>
      </c>
      <c r="C81" s="3">
        <f>IF(A81="","",IFERROR(INDEX(マスタ!$C$2:$C$4,MATCH(A81&amp;"",マスタ!$A$2:$A$4,0)),""))</f>
      </c>
      <c r="E81">
        <f>IF(B81="",E80,IF(E80="",B81,E80&amp;","&amp;B81))</f>
      </c>
    </row>
    <row r="82">
      <c r="A82" s="2">
        <f>IF(B3="","",TRIM(MID(SUBSTITUTE(SUBSTITUTE(SUBSTITUTE(B3&amp;"","、",","),"，",",")&amp;",",",",REPT(" ",20)),1481,20)))</f>
      </c>
      <c r="B82" s="10">
        <f>IF(A82="","",IFERROR(INDEX(マスタ!$B$2:$B$4,MATCH(A82&amp;"",マスタ!$A$2:$A$4,0)),"該当なし"))</f>
      </c>
      <c r="C82" s="3">
        <f>IF(A82="","",IFERROR(INDEX(マスタ!$C$2:$C$4,MATCH(A82&amp;"",マスタ!$A$2:$A$4,0)),""))</f>
      </c>
      <c r="E82">
        <f>IF(B82="",E81,IF(E81="",B82,E81&amp;","&amp;B82))</f>
      </c>
    </row>
    <row r="83">
      <c r="A83" s="2">
        <f>IF(B3="","",TRIM(MID(SUBSTITUTE(SUBSTITUTE(SUBSTITUTE(B3&amp;"","、",","),"，",",")&amp;",",",",REPT(" ",20)),1501,20)))</f>
      </c>
      <c r="B83" s="10">
        <f>IF(A83="","",IFERROR(INDEX(マスタ!$B$2:$B$4,MATCH(A83&amp;"",マスタ!$A$2:$A$4,0)),"該当なし"))</f>
      </c>
      <c r="C83" s="3">
        <f>IF(A83="","",IFERROR(INDEX(マスタ!$C$2:$C$4,MATCH(A83&amp;"",マスタ!$A$2:$A$4,0)),""))</f>
      </c>
      <c r="E83">
        <f>IF(B83="",E82,IF(E82="",B83,E82&amp;","&amp;B83))</f>
      </c>
    </row>
    <row r="84">
      <c r="A84" s="2">
        <f>IF(B3="","",TRIM(MID(SUBSTITUTE(SUBSTITUTE(SUBSTITUTE(B3&amp;"","、",","),"，",",")&amp;",",",",REPT(" ",20)),1521,20)))</f>
      </c>
      <c r="B84" s="10">
        <f>IF(A84="","",IFERROR(INDEX(マスタ!$B$2:$B$4,MATCH(A84&amp;"",マスタ!$A$2:$A$4,0)),"該当なし"))</f>
      </c>
      <c r="C84" s="3">
        <f>IF(A84="","",IFERROR(INDEX(マスタ!$C$2:$C$4,MATCH(A84&amp;"",マスタ!$A$2:$A$4,0)),""))</f>
      </c>
      <c r="E84">
        <f>IF(B84="",E83,IF(E83="",B84,E83&amp;","&amp;B84))</f>
      </c>
    </row>
    <row r="85">
      <c r="A85" s="2">
        <f>IF(B3="","",TRIM(MID(SUBSTITUTE(SUBSTITUTE(SUBSTITUTE(B3&amp;"","、",","),"，",",")&amp;",",",",REPT(" ",20)),1541,20)))</f>
      </c>
      <c r="B85" s="10">
        <f>IF(A85="","",IFERROR(INDEX(マスタ!$B$2:$B$4,MATCH(A85&amp;"",マスタ!$A$2:$A$4,0)),"該当なし"))</f>
      </c>
      <c r="C85" s="3">
        <f>IF(A85="","",IFERROR(INDEX(マスタ!$C$2:$C$4,MATCH(A85&amp;"",マスタ!$A$2:$A$4,0)),""))</f>
      </c>
      <c r="E85">
        <f>IF(B85="",E84,IF(E84="",B85,E84&amp;","&amp;B85))</f>
      </c>
    </row>
    <row r="86">
      <c r="A86" s="2">
        <f>IF(B3="","",TRIM(MID(SUBSTITUTE(SUBSTITUTE(SUBSTITUTE(B3&amp;"","、",","),"，",",")&amp;",",",",REPT(" ",20)),1561,20)))</f>
      </c>
      <c r="B86" s="10">
        <f>IF(A86="","",IFERROR(INDEX(マスタ!$B$2:$B$4,MATCH(A86&amp;"",マスタ!$A$2:$A$4,0)),"該当なし"))</f>
      </c>
      <c r="C86" s="3">
        <f>IF(A86="","",IFERROR(INDEX(マスタ!$C$2:$C$4,MATCH(A86&amp;"",マスタ!$A$2:$A$4,0)),""))</f>
      </c>
      <c r="E86">
        <f>IF(B86="",E85,IF(E85="",B86,E85&amp;","&amp;B86))</f>
      </c>
    </row>
    <row r="87">
      <c r="A87" s="2">
        <f>IF(B3="","",TRIM(MID(SUBSTITUTE(SUBSTITUTE(SUBSTITUTE(B3&amp;"","、",","),"，",",")&amp;",",",",REPT(" ",20)),1581,20)))</f>
      </c>
      <c r="B87" s="10">
        <f>IF(A87="","",IFERROR(INDEX(マスタ!$B$2:$B$4,MATCH(A87&amp;"",マスタ!$A$2:$A$4,0)),"該当なし"))</f>
      </c>
      <c r="C87" s="3">
        <f>IF(A87="","",IFERROR(INDEX(マスタ!$C$2:$C$4,MATCH(A87&amp;"",マスタ!$A$2:$A$4,0)),""))</f>
      </c>
      <c r="E87">
        <f>IF(B87="",E86,IF(E86="",B87,E86&amp;","&amp;B87))</f>
      </c>
    </row>
    <row r="88">
      <c r="A88" s="2">
        <f>IF(B3="","",TRIM(MID(SUBSTITUTE(SUBSTITUTE(SUBSTITUTE(B3&amp;"","、",","),"，",",")&amp;",",",",REPT(" ",20)),1601,20)))</f>
      </c>
      <c r="B88" s="10">
        <f>IF(A88="","",IFERROR(INDEX(マスタ!$B$2:$B$4,MATCH(A88&amp;"",マスタ!$A$2:$A$4,0)),"該当なし"))</f>
      </c>
      <c r="C88" s="3">
        <f>IF(A88="","",IFERROR(INDEX(マスタ!$C$2:$C$4,MATCH(A88&amp;"",マスタ!$A$2:$A$4,0)),""))</f>
      </c>
      <c r="E88">
        <f>IF(B88="",E87,IF(E87="",B88,E87&amp;","&amp;B88))</f>
      </c>
    </row>
    <row r="89">
      <c r="A89" s="2">
        <f>IF(B3="","",TRIM(MID(SUBSTITUTE(SUBSTITUTE(SUBSTITUTE(B3&amp;"","、",","),"，",",")&amp;",",",",REPT(" ",20)),1621,20)))</f>
      </c>
      <c r="B89" s="10">
        <f>IF(A89="","",IFERROR(INDEX(マスタ!$B$2:$B$4,MATCH(A89&amp;"",マスタ!$A$2:$A$4,0)),"該当なし"))</f>
      </c>
      <c r="C89" s="3">
        <f>IF(A89="","",IFERROR(INDEX(マスタ!$C$2:$C$4,MATCH(A89&amp;"",マスタ!$A$2:$A$4,0)),""))</f>
      </c>
      <c r="E89">
        <f>IF(B89="",E88,IF(E88="",B89,E88&amp;","&amp;B89))</f>
      </c>
    </row>
    <row r="90">
      <c r="A90" s="2">
        <f>IF(B3="","",TRIM(MID(SUBSTITUTE(SUBSTITUTE(SUBSTITUTE(B3&amp;"","、",","),"，",",")&amp;",",",",REPT(" ",20)),1641,20)))</f>
      </c>
      <c r="B90" s="10">
        <f>IF(A90="","",IFERROR(INDEX(マスタ!$B$2:$B$4,MATCH(A90&amp;"",マスタ!$A$2:$A$4,0)),"該当なし"))</f>
      </c>
      <c r="C90" s="3">
        <f>IF(A90="","",IFERROR(INDEX(マスタ!$C$2:$C$4,MATCH(A90&amp;"",マスタ!$A$2:$A$4,0)),""))</f>
      </c>
      <c r="E90">
        <f>IF(B90="",E89,IF(E89="",B90,E89&amp;","&amp;B90))</f>
      </c>
    </row>
    <row r="91">
      <c r="A91" s="2">
        <f>IF(B3="","",TRIM(MID(SUBSTITUTE(SUBSTITUTE(SUBSTITUTE(B3&amp;"","、",","),"，",",")&amp;",",",",REPT(" ",20)),1661,20)))</f>
      </c>
      <c r="B91" s="10">
        <f>IF(A91="","",IFERROR(INDEX(マスタ!$B$2:$B$4,MATCH(A91&amp;"",マスタ!$A$2:$A$4,0)),"該当なし"))</f>
      </c>
      <c r="C91" s="3">
        <f>IF(A91="","",IFERROR(INDEX(マスタ!$C$2:$C$4,MATCH(A91&amp;"",マスタ!$A$2:$A$4,0)),""))</f>
      </c>
      <c r="E91">
        <f>IF(B91="",E90,IF(E90="",B91,E90&amp;","&amp;B91))</f>
      </c>
    </row>
    <row r="92">
      <c r="A92" s="2">
        <f>IF(B3="","",TRIM(MID(SUBSTITUTE(SUBSTITUTE(SUBSTITUTE(B3&amp;"","、",","),"，",",")&amp;",",",",REPT(" ",20)),1681,20)))</f>
      </c>
      <c r="B92" s="10">
        <f>IF(A92="","",IFERROR(INDEX(マスタ!$B$2:$B$4,MATCH(A92&amp;"",マスタ!$A$2:$A$4,0)),"該当なし"))</f>
      </c>
      <c r="C92" s="3">
        <f>IF(A92="","",IFERROR(INDEX(マスタ!$C$2:$C$4,MATCH(A92&amp;"",マスタ!$A$2:$A$4,0)),""))</f>
      </c>
      <c r="E92">
        <f>IF(B92="",E91,IF(E91="",B92,E91&amp;","&amp;B92))</f>
      </c>
    </row>
    <row r="93">
      <c r="A93" s="2">
        <f>IF(B3="","",TRIM(MID(SUBSTITUTE(SUBSTITUTE(SUBSTITUTE(B3&amp;"","、",","),"，",",")&amp;",",",",REPT(" ",20)),1701,20)))</f>
      </c>
      <c r="B93" s="10">
        <f>IF(A93="","",IFERROR(INDEX(マスタ!$B$2:$B$4,MATCH(A93&amp;"",マスタ!$A$2:$A$4,0)),"該当なし"))</f>
      </c>
      <c r="C93" s="3">
        <f>IF(A93="","",IFERROR(INDEX(マスタ!$C$2:$C$4,MATCH(A93&amp;"",マスタ!$A$2:$A$4,0)),""))</f>
      </c>
      <c r="E93">
        <f>IF(B93="",E92,IF(E92="",B93,E92&amp;","&amp;B93))</f>
      </c>
    </row>
    <row r="94">
      <c r="A94" s="2">
        <f>IF(B3="","",TRIM(MID(SUBSTITUTE(SUBSTITUTE(SUBSTITUTE(B3&amp;"","、",","),"，",",")&amp;",",",",REPT(" ",20)),1721,20)))</f>
      </c>
      <c r="B94" s="10">
        <f>IF(A94="","",IFERROR(INDEX(マスタ!$B$2:$B$4,MATCH(A94&amp;"",マスタ!$A$2:$A$4,0)),"該当なし"))</f>
      </c>
      <c r="C94" s="3">
        <f>IF(A94="","",IFERROR(INDEX(マスタ!$C$2:$C$4,MATCH(A94&amp;"",マスタ!$A$2:$A$4,0)),""))</f>
      </c>
      <c r="E94">
        <f>IF(B94="",E93,IF(E93="",B94,E93&amp;","&amp;B94))</f>
      </c>
    </row>
    <row r="95">
      <c r="A95" s="2">
        <f>IF(B3="","",TRIM(MID(SUBSTITUTE(SUBSTITUTE(SUBSTITUTE(B3&amp;"","、",","),"，",",")&amp;",",",",REPT(" ",20)),1741,20)))</f>
      </c>
      <c r="B95" s="10">
        <f>IF(A95="","",IFERROR(INDEX(マスタ!$B$2:$B$4,MATCH(A95&amp;"",マスタ!$A$2:$A$4,0)),"該当なし"))</f>
      </c>
      <c r="C95" s="3">
        <f>IF(A95="","",IFERROR(INDEX(マスタ!$C$2:$C$4,MATCH(A95&amp;"",マスタ!$A$2:$A$4,0)),""))</f>
      </c>
      <c r="E95">
        <f>IF(B95="",E94,IF(E94="",B95,E94&amp;","&amp;B95))</f>
      </c>
    </row>
    <row r="96">
      <c r="A96" s="2">
        <f>IF(B3="","",TRIM(MID(SUBSTITUTE(SUBSTITUTE(SUBSTITUTE(B3&amp;"","、",","),"，",",")&amp;",",",",REPT(" ",20)),1761,20)))</f>
      </c>
      <c r="B96" s="10">
        <f>IF(A96="","",IFERROR(INDEX(マスタ!$B$2:$B$4,MATCH(A96&amp;"",マスタ!$A$2:$A$4,0)),"該当なし"))</f>
      </c>
      <c r="C96" s="3">
        <f>IF(A96="","",IFERROR(INDEX(マスタ!$C$2:$C$4,MATCH(A96&amp;"",マスタ!$A$2:$A$4,0)),""))</f>
      </c>
      <c r="E96">
        <f>IF(B96="",E95,IF(E95="",B96,E95&amp;","&amp;B96))</f>
      </c>
    </row>
    <row r="97">
      <c r="A97" s="2">
        <f>IF(B3="","",TRIM(MID(SUBSTITUTE(SUBSTITUTE(SUBSTITUTE(B3&amp;"","、",","),"，",",")&amp;",",",",REPT(" ",20)),1781,20)))</f>
      </c>
      <c r="B97" s="10">
        <f>IF(A97="","",IFERROR(INDEX(マスタ!$B$2:$B$4,MATCH(A97&amp;"",マスタ!$A$2:$A$4,0)),"該当なし"))</f>
      </c>
      <c r="C97" s="3">
        <f>IF(A97="","",IFERROR(INDEX(マスタ!$C$2:$C$4,MATCH(A97&amp;"",マスタ!$A$2:$A$4,0)),""))</f>
      </c>
      <c r="E97">
        <f>IF(B97="",E96,IF(E96="",B97,E96&amp;","&amp;B97))</f>
      </c>
    </row>
    <row r="98">
      <c r="A98" s="2">
        <f>IF(B3="","",TRIM(MID(SUBSTITUTE(SUBSTITUTE(SUBSTITUTE(B3&amp;"","、",","),"，",",")&amp;",",",",REPT(" ",20)),1801,20)))</f>
      </c>
      <c r="B98" s="10">
        <f>IF(A98="","",IFERROR(INDEX(マスタ!$B$2:$B$4,MATCH(A98&amp;"",マスタ!$A$2:$A$4,0)),"該当なし"))</f>
      </c>
      <c r="C98" s="3">
        <f>IF(A98="","",IFERROR(INDEX(マスタ!$C$2:$C$4,MATCH(A98&amp;"",マスタ!$A$2:$A$4,0)),""))</f>
      </c>
      <c r="E98">
        <f>IF(B98="",E97,IF(E97="",B98,E97&amp;","&amp;B98))</f>
      </c>
    </row>
    <row r="99">
      <c r="A99" s="2">
        <f>IF(B3="","",TRIM(MID(SUBSTITUTE(SUBSTITUTE(SUBSTITUTE(B3&amp;"","、",","),"，",",")&amp;",",",",REPT(" ",20)),1821,20)))</f>
      </c>
      <c r="B99" s="10">
        <f>IF(A99="","",IFERROR(INDEX(マスタ!$B$2:$B$4,MATCH(A99&amp;"",マスタ!$A$2:$A$4,0)),"該当なし"))</f>
      </c>
      <c r="C99" s="3">
        <f>IF(A99="","",IFERROR(INDEX(マスタ!$C$2:$C$4,MATCH(A99&amp;"",マスタ!$A$2:$A$4,0)),""))</f>
      </c>
      <c r="E99">
        <f>IF(B99="",E98,IF(E98="",B99,E98&amp;","&amp;B99))</f>
      </c>
    </row>
    <row r="100">
      <c r="A100" s="2">
        <f>IF(B3="","",TRIM(MID(SUBSTITUTE(SUBSTITUTE(SUBSTITUTE(B3&amp;"","、",","),"，",",")&amp;",",",",REPT(" ",20)),1841,20)))</f>
      </c>
      <c r="B100" s="10">
        <f>IF(A100="","",IFERROR(INDEX(マスタ!$B$2:$B$4,MATCH(A100&amp;"",マスタ!$A$2:$A$4,0)),"該当なし"))</f>
      </c>
      <c r="C100" s="3">
        <f>IF(A100="","",IFERROR(INDEX(マスタ!$C$2:$C$4,MATCH(A100&amp;"",マスタ!$A$2:$A$4,0)),""))</f>
      </c>
      <c r="E100">
        <f>IF(B100="",E99,IF(E99="",B100,E99&amp;","&amp;B100))</f>
      </c>
    </row>
    <row r="101">
      <c r="A101" s="2">
        <f>IF(B3="","",TRIM(MID(SUBSTITUTE(SUBSTITUTE(SUBSTITUTE(B3&amp;"","、",","),"，",",")&amp;",",",",REPT(" ",20)),1861,20)))</f>
      </c>
      <c r="B101" s="10">
        <f>IF(A101="","",IFERROR(INDEX(マスタ!$B$2:$B$4,MATCH(A101&amp;"",マスタ!$A$2:$A$4,0)),"該当なし"))</f>
      </c>
      <c r="C101" s="3">
        <f>IF(A101="","",IFERROR(INDEX(マスタ!$C$2:$C$4,MATCH(A101&amp;"",マスタ!$A$2:$A$4,0)),""))</f>
      </c>
      <c r="E101">
        <f>IF(B101="",E100,IF(E100="",B101,E100&amp;","&amp;B101))</f>
      </c>
    </row>
    <row r="102">
      <c r="A102" s="2">
        <f>IF(B3="","",TRIM(MID(SUBSTITUTE(SUBSTITUTE(SUBSTITUTE(B3&amp;"","、",","),"，",",")&amp;",",",",REPT(" ",20)),1881,20)))</f>
      </c>
      <c r="B102" s="10">
        <f>IF(A102="","",IFERROR(INDEX(マスタ!$B$2:$B$4,MATCH(A102&amp;"",マスタ!$A$2:$A$4,0)),"該当なし"))</f>
      </c>
      <c r="C102" s="3">
        <f>IF(A102="","",IFERROR(INDEX(マスタ!$C$2:$C$4,MATCH(A102&amp;"",マスタ!$A$2:$A$4,0)),""))</f>
      </c>
      <c r="E102">
        <f>IF(B102="",E101,IF(E101="",B102,E101&amp;","&amp;B102))</f>
      </c>
    </row>
    <row r="103">
      <c r="A103" s="2">
        <f>IF(B3="","",TRIM(MID(SUBSTITUTE(SUBSTITUTE(SUBSTITUTE(B3&amp;"","、",","),"，",",")&amp;",",",",REPT(" ",20)),1901,20)))</f>
      </c>
      <c r="B103" s="10">
        <f>IF(A103="","",IFERROR(INDEX(マスタ!$B$2:$B$4,MATCH(A103&amp;"",マスタ!$A$2:$A$4,0)),"該当なし"))</f>
      </c>
      <c r="C103" s="3">
        <f>IF(A103="","",IFERROR(INDEX(マスタ!$C$2:$C$4,MATCH(A103&amp;"",マスタ!$A$2:$A$4,0)),""))</f>
      </c>
      <c r="E103">
        <f>IF(B103="",E102,IF(E102="",B103,E102&amp;","&amp;B103))</f>
      </c>
    </row>
    <row r="104">
      <c r="A104" s="2">
        <f>IF(B3="","",TRIM(MID(SUBSTITUTE(SUBSTITUTE(SUBSTITUTE(B3&amp;"","、",","),"，",",")&amp;",",",",REPT(" ",20)),1921,20)))</f>
      </c>
      <c r="B104" s="10">
        <f>IF(A104="","",IFERROR(INDEX(マスタ!$B$2:$B$4,MATCH(A104&amp;"",マスタ!$A$2:$A$4,0)),"該当なし"))</f>
      </c>
      <c r="C104" s="3">
        <f>IF(A104="","",IFERROR(INDEX(マスタ!$C$2:$C$4,MATCH(A104&amp;"",マスタ!$A$2:$A$4,0)),""))</f>
      </c>
      <c r="E104">
        <f>IF(B104="",E103,IF(E103="",B104,E103&amp;","&amp;B104))</f>
      </c>
    </row>
    <row r="105">
      <c r="A105" s="2">
        <f>IF(B3="","",TRIM(MID(SUBSTITUTE(SUBSTITUTE(SUBSTITUTE(B3&amp;"","、",","),"，",",")&amp;",",",",REPT(" ",20)),1941,20)))</f>
      </c>
      <c r="B105" s="10">
        <f>IF(A105="","",IFERROR(INDEX(マスタ!$B$2:$B$4,MATCH(A105&amp;"",マスタ!$A$2:$A$4,0)),"該当なし"))</f>
      </c>
      <c r="C105" s="3">
        <f>IF(A105="","",IFERROR(INDEX(マスタ!$C$2:$C$4,MATCH(A105&amp;"",マスタ!$A$2:$A$4,0)),""))</f>
      </c>
      <c r="E105">
        <f>IF(B105="",E104,IF(E104="",B105,E104&amp;","&amp;B105))</f>
      </c>
    </row>
    <row r="106">
      <c r="A106" s="2">
        <f>IF(B3="","",TRIM(MID(SUBSTITUTE(SUBSTITUTE(SUBSTITUTE(B3&amp;"","、",","),"，",",")&amp;",",",",REPT(" ",20)),1961,20)))</f>
      </c>
      <c r="B106" s="10">
        <f>IF(A106="","",IFERROR(INDEX(マスタ!$B$2:$B$4,MATCH(A106&amp;"",マスタ!$A$2:$A$4,0)),"該当なし"))</f>
      </c>
      <c r="C106" s="3">
        <f>IF(A106="","",IFERROR(INDEX(マスタ!$C$2:$C$4,MATCH(A106&amp;"",マスタ!$A$2:$A$4,0)),""))</f>
      </c>
      <c r="E106">
        <f>IF(B106="",E105,IF(E105="",B106,E105&amp;","&amp;B106))</f>
      </c>
    </row>
    <row r="107">
      <c r="A107" s="2">
        <f>IF(B3="","",TRIM(MID(SUBSTITUTE(SUBSTITUTE(SUBSTITUTE(B3&amp;"","、",","),"，",",")&amp;",",",",REPT(" ",20)),1981,20)))</f>
      </c>
      <c r="B107" s="10">
        <f>IF(A107="","",IFERROR(INDEX(マスタ!$B$2:$B$4,MATCH(A107&amp;"",マスタ!$A$2:$A$4,0)),"該当なし"))</f>
      </c>
      <c r="C107" s="3">
        <f>IF(A107="","",IFERROR(INDEX(マスタ!$C$2:$C$4,MATCH(A107&amp;"",マスタ!$A$2:$A$4,0)),""))</f>
      </c>
      <c r="E107">
        <f>IF(B107="",E106,IF(E106="",B107,E106&amp;","&amp;B107))</f>
      </c>
    </row>
    <row r="108">
      <c r="A108" s="7" t="inlineStr">
        <is>
          <t>オプション合計</t>
        </is>
      </c>
      <c r="B108" s="7"/>
      <c r="C108" s="8">
        <f>B5</f>
      </c>
    </row>
    <row r="109">
      <c r="A109" s="7" t="inlineStr">
        <is>
          <t>総合計</t>
        </is>
      </c>
      <c r="B109" s="7"/>
      <c r="C109" s="8">
        <f>B6</f>
      </c>
    </row>
  </sheetData>
</worksheet>
</file>